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TEMPLATE" sheetId="1" state="visible" r:id="rId1"/>
    <sheet name="Reference" sheetId="2" state="visible" r:id="rId2"/>
    <sheet name="How to use" sheetId="3" state="visible" r:id="rId3"/>
  </sheets>
  <definedNames/>
  <calcPr calcId="124519" fullCalcOnLoad="1"/>
</workbook>
</file>

<file path=xl/styles.xml><?xml version="1.0" encoding="utf-8"?>
<styleSheet xmlns="http://schemas.openxmlformats.org/spreadsheetml/2006/main">
  <numFmts count="3">
    <numFmt numFmtId="164" formatCode="yyyy-mm-dd"/>
    <numFmt numFmtId="165" formatCode="0.#"/>
    <numFmt numFmtId="166" formatCode="0.0%"/>
  </numFmts>
  <fonts count="8">
    <font>
      <name val="Calibri"/>
      <family val="2"/>
      <color theme="1"/>
      <sz val="11"/>
      <scheme val="minor"/>
    </font>
    <font>
      <name val="Arial"/>
      <b val="1"/>
      <sz val="10"/>
    </font>
    <font>
      <name val="Arial"/>
      <color rgb="000000FF"/>
      <sz val="10"/>
    </font>
    <font>
      <name val="Arial"/>
      <sz val="10"/>
    </font>
    <font>
      <name val="Arial"/>
      <b val="1"/>
      <sz val="11"/>
    </font>
    <font>
      <name val="Arial"/>
      <b val="1"/>
      <sz val="12"/>
    </font>
    <font>
      <name val="Arial"/>
      <i val="1"/>
      <sz val="9"/>
    </font>
    <font>
      <name val="Arial"/>
      <b val="1"/>
      <sz val="14"/>
    </font>
  </fonts>
  <fills count="6">
    <fill>
      <patternFill/>
    </fill>
    <fill>
      <patternFill patternType="gray125"/>
    </fill>
    <fill>
      <patternFill patternType="solid">
        <fgColor rgb="00FFF8DC"/>
      </patternFill>
    </fill>
    <fill>
      <patternFill patternType="solid">
        <fgColor rgb="00DCE6F1"/>
      </patternFill>
    </fill>
    <fill>
      <patternFill patternType="solid">
        <fgColor rgb="00EDF2F8"/>
      </patternFill>
    </fill>
    <fill>
      <patternFill patternType="solid">
        <fgColor rgb="00D9E2EF"/>
      </patternFill>
    </fill>
  </fills>
  <borders count="6">
    <border>
      <left/>
      <right/>
      <top/>
      <bottom/>
      <diagonal/>
    </border>
    <border>
      <left style="thin">
        <color rgb="00B0B7C3"/>
      </left>
      <right style="thin">
        <color rgb="00B0B7C3"/>
      </right>
      <top style="thin">
        <color rgb="00B0B7C3"/>
      </top>
      <bottom style="thin">
        <color rgb="00B0B7C3"/>
      </bottom>
    </border>
    <border>
      <left/>
      <right/>
      <top style="thin">
        <color rgb="00B0B7C3"/>
      </top>
      <bottom/>
      <diagonal/>
    </border>
    <border>
      <left/>
      <right style="thin">
        <color rgb="00B0B7C3"/>
      </right>
      <top style="thin">
        <color rgb="00B0B7C3"/>
      </top>
      <bottom/>
      <diagonal/>
    </border>
    <border>
      <left/>
      <right style="thin">
        <color rgb="00B0B7C3"/>
      </right>
      <top style="thin">
        <color rgb="00B0B7C3"/>
      </top>
      <bottom style="thin">
        <color rgb="00B0B7C3"/>
      </bottom>
      <diagonal/>
    </border>
    <border>
      <left/>
      <right/>
      <top style="thin">
        <color rgb="00B0B7C3"/>
      </top>
      <bottom style="thin">
        <color rgb="00B0B7C3"/>
      </bottom>
      <diagonal/>
    </border>
  </borders>
  <cellStyleXfs count="1">
    <xf numFmtId="0" fontId="0" fillId="0" borderId="0"/>
  </cellStyleXfs>
  <cellXfs count="33">
    <xf numFmtId="0" fontId="0" fillId="0" borderId="0" pivotButton="0" quotePrefix="0" xfId="0"/>
    <xf numFmtId="0" fontId="1" fillId="0" borderId="1" applyAlignment="1" pivotButton="0" quotePrefix="0" xfId="0">
      <alignment horizontal="left" vertical="center"/>
    </xf>
    <xf numFmtId="0" fontId="0" fillId="0" borderId="4" pivotButton="0" quotePrefix="0" xfId="0"/>
    <xf numFmtId="0" fontId="2" fillId="2" borderId="1" applyAlignment="1" pivotButton="0" quotePrefix="0" xfId="0">
      <alignment horizontal="left" vertical="center" wrapText="1"/>
    </xf>
    <xf numFmtId="0" fontId="0" fillId="0" borderId="5" pivotButton="0" quotePrefix="0" xfId="0"/>
    <xf numFmtId="164" fontId="2" fillId="2" borderId="1" applyAlignment="1" pivotButton="0" quotePrefix="0" xfId="0">
      <alignment horizontal="left" vertical="center"/>
    </xf>
    <xf numFmtId="0" fontId="2" fillId="2" borderId="1" applyAlignment="1" pivotButton="0" quotePrefix="0" xfId="0">
      <alignment horizontal="left" vertical="center"/>
    </xf>
    <xf numFmtId="0" fontId="1" fillId="3" borderId="1" applyAlignment="1" pivotButton="0" quotePrefix="0" xfId="0">
      <alignment horizontal="left" vertical="center"/>
    </xf>
    <xf numFmtId="0" fontId="3" fillId="3" borderId="1" applyAlignment="1" pivotButton="0" quotePrefix="0" xfId="0">
      <alignment horizontal="left" vertical="center" wrapText="1"/>
    </xf>
    <xf numFmtId="0" fontId="1" fillId="3" borderId="1" applyAlignment="1" pivotButton="0" quotePrefix="0" xfId="0">
      <alignment horizontal="center" vertical="center" wrapText="1"/>
    </xf>
    <xf numFmtId="0" fontId="3" fillId="0" borderId="1" applyAlignment="1" pivotButton="0" quotePrefix="0" xfId="0">
      <alignment horizontal="left" vertical="center" wrapText="1"/>
    </xf>
    <xf numFmtId="165" fontId="2" fillId="2" borderId="1" applyAlignment="1" pivotButton="0" quotePrefix="0" xfId="0">
      <alignment horizontal="center" vertical="center"/>
    </xf>
    <xf numFmtId="166" fontId="3" fillId="0" borderId="1" applyAlignment="1" pivotButton="0" quotePrefix="0" xfId="0">
      <alignment horizontal="center" vertical="center"/>
    </xf>
    <xf numFmtId="0" fontId="1" fillId="4" borderId="1" applyAlignment="1" pivotButton="0" quotePrefix="0" xfId="0">
      <alignment horizontal="left" vertical="center"/>
    </xf>
    <xf numFmtId="0" fontId="1" fillId="4" borderId="1" applyAlignment="1" pivotButton="0" quotePrefix="0" xfId="0">
      <alignment horizontal="left" vertical="center" wrapText="1"/>
    </xf>
    <xf numFmtId="165" fontId="1" fillId="4" borderId="1" applyAlignment="1" pivotButton="0" quotePrefix="0" xfId="0">
      <alignment horizontal="center" vertical="center"/>
    </xf>
    <xf numFmtId="166" fontId="1" fillId="4" borderId="1" applyAlignment="1" pivotButton="0" quotePrefix="0" xfId="0">
      <alignment horizontal="center" vertical="center"/>
    </xf>
    <xf numFmtId="0" fontId="4" fillId="5" borderId="1" applyAlignment="1" pivotButton="0" quotePrefix="0" xfId="0">
      <alignment horizontal="left" vertical="center"/>
    </xf>
    <xf numFmtId="166" fontId="4" fillId="5" borderId="1" applyAlignment="1" pivotButton="0" quotePrefix="0" xfId="0">
      <alignment horizontal="center" vertical="center"/>
    </xf>
    <xf numFmtId="0" fontId="1" fillId="5" borderId="1" applyAlignment="1" pivotButton="0" quotePrefix="0" xfId="0">
      <alignment horizontal="center" vertical="center"/>
    </xf>
    <xf numFmtId="0" fontId="1" fillId="0" borderId="0"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5" fillId="0" borderId="0" pivotButton="0" quotePrefix="0" xfId="0"/>
    <xf numFmtId="0" fontId="6" fillId="0" borderId="0" pivotButton="0" quotePrefix="0" xfId="0"/>
    <xf numFmtId="0" fontId="1" fillId="0" borderId="0" pivotButton="0" quotePrefix="0" xfId="0"/>
    <xf numFmtId="9" fontId="3" fillId="0" borderId="0" pivotButton="0" quotePrefix="0" xfId="0"/>
    <xf numFmtId="0" fontId="3" fillId="0" borderId="0" pivotButton="0" quotePrefix="0" xfId="0"/>
    <xf numFmtId="1" fontId="3" fillId="0" borderId="0" pivotButton="0" quotePrefix="0" xfId="0"/>
    <xf numFmtId="0" fontId="7" fillId="0" borderId="0" pivotButton="0" quotePrefix="0" xfId="0"/>
    <xf numFmtId="0" fontId="4"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 customWidth="1" min="1" max="1"/>
    <col width="4" customWidth="1" min="2" max="2"/>
    <col width="34" customWidth="1" min="3" max="3"/>
    <col width="8" customWidth="1" min="4" max="4"/>
    <col width="5.3" customWidth="1" min="5" max="5"/>
    <col width="20.6" customWidth="1" min="6" max="6"/>
    <col width="11" customWidth="1" min="7" max="7"/>
    <col width="11" customWidth="1" min="8" max="8"/>
    <col width="12" customWidth="1" min="9" max="9"/>
  </cols>
  <sheetData>
    <row r="1">
      <c r="A1" s="1" t="inlineStr">
        <is>
          <t>Project:</t>
        </is>
      </c>
      <c r="B1" s="2" t="n"/>
      <c r="C1" s="3" t="inlineStr"/>
      <c r="D1" s="4" t="n"/>
      <c r="E1" s="2" t="n"/>
      <c r="F1" s="1" t="inlineStr">
        <is>
          <t>Date:</t>
        </is>
      </c>
      <c r="G1" s="5" t="inlineStr"/>
      <c r="H1" s="4" t="n"/>
      <c r="I1" s="2" t="n"/>
    </row>
    <row r="2">
      <c r="A2" s="1" t="inlineStr">
        <is>
          <t>Location:</t>
        </is>
      </c>
      <c r="B2" s="2" t="n"/>
      <c r="C2" s="3" t="inlineStr"/>
      <c r="D2" s="4" t="n"/>
      <c r="E2" s="2" t="n"/>
      <c r="F2" s="1" t="inlineStr">
        <is>
          <t>Inspection No.:</t>
        </is>
      </c>
      <c r="G2" s="6" t="inlineStr"/>
      <c r="H2" s="4" t="n"/>
      <c r="I2" s="2" t="n"/>
    </row>
    <row r="3">
      <c r="A3" s="1" t="inlineStr">
        <is>
          <t>Auditor:</t>
        </is>
      </c>
      <c r="B3" s="2" t="n"/>
      <c r="C3" s="3" t="inlineStr"/>
      <c r="D3" s="4" t="n"/>
      <c r="E3" s="2" t="n"/>
      <c r="F3" s="1" t="inlineStr">
        <is>
          <t>Contact No.:</t>
        </is>
      </c>
      <c r="G3" s="6" t="inlineStr"/>
      <c r="H3" s="4" t="n"/>
      <c r="I3" s="2" t="n"/>
    </row>
    <row r="5" ht="45" customHeight="1">
      <c r="A5" s="7" t="inlineStr">
        <is>
          <t>PART 2</t>
        </is>
      </c>
      <c r="B5" s="2" t="n"/>
      <c r="C5" s="8" t="inlineStr">
        <is>
          <t>Scoring summary. Type only the shaded cells: Total Possible Points and Total Points Scored. Every Final Score, section score and the total are calculated — do not overwrite them.</t>
        </is>
      </c>
      <c r="D5" s="4" t="n"/>
      <c r="E5" s="4" t="n"/>
      <c r="F5" s="4" t="n"/>
      <c r="G5" s="4" t="n"/>
      <c r="H5" s="4" t="n"/>
      <c r="I5" s="2" t="n"/>
    </row>
    <row r="7" ht="30" customHeight="1">
      <c r="A7" s="7" t="inlineStr">
        <is>
          <t>Inspection Program Areas</t>
        </is>
      </c>
      <c r="B7" s="4" t="n"/>
      <c r="C7" s="4" t="n"/>
      <c r="D7" s="4" t="n"/>
      <c r="E7" s="4" t="n"/>
      <c r="F7" s="2" t="n"/>
      <c r="G7" s="9" t="inlineStr">
        <is>
          <t>Total Possible Points</t>
        </is>
      </c>
      <c r="H7" s="9" t="inlineStr">
        <is>
          <t>Total Points Scored</t>
        </is>
      </c>
      <c r="I7" s="9" t="inlineStr">
        <is>
          <t>Final Score</t>
        </is>
      </c>
    </row>
    <row r="8">
      <c r="A8" s="1" t="inlineStr">
        <is>
          <t>A</t>
        </is>
      </c>
      <c r="B8" s="2" t="n"/>
      <c r="C8" s="10" t="inlineStr">
        <is>
          <t>MANAGEMENT</t>
        </is>
      </c>
      <c r="D8" s="4" t="n"/>
      <c r="E8" s="4" t="n"/>
      <c r="F8" s="2" t="n"/>
      <c r="G8" s="11" t="n"/>
      <c r="H8" s="11" t="n"/>
      <c r="I8" s="12">
        <f>IF(AND(N(G8)&gt;0,H8&lt;&gt;""),ROUND(H8/G8,4),"N/A")</f>
        <v/>
      </c>
    </row>
    <row r="9">
      <c r="A9" s="13" t="inlineStr">
        <is>
          <t>B</t>
        </is>
      </c>
      <c r="B9" s="2" t="n"/>
      <c r="C9" s="14" t="inlineStr">
        <is>
          <t>PROCESS AND PROCEDURES (ASSESSED ON SITE)</t>
        </is>
      </c>
      <c r="D9" s="4" t="n"/>
      <c r="E9" s="4" t="n"/>
      <c r="F9" s="2" t="n"/>
      <c r="G9" s="15">
        <f>SUM(G10:G21)</f>
        <v/>
      </c>
      <c r="H9" s="15">
        <f>SUM(H10:H21)</f>
        <v/>
      </c>
      <c r="I9" s="16">
        <f>IFERROR(ROUND(AVERAGE(I10:I21),4),"N/A")</f>
        <v/>
      </c>
    </row>
    <row r="10">
      <c r="A10" s="1" t="inlineStr"/>
      <c r="B10" s="2" t="n"/>
      <c r="C10" s="10" t="inlineStr">
        <is>
          <t>1. Risk Assessments Method Statements</t>
        </is>
      </c>
      <c r="D10" s="4" t="n"/>
      <c r="E10" s="4" t="n"/>
      <c r="F10" s="2" t="n"/>
      <c r="G10" s="11" t="n"/>
      <c r="H10" s="11" t="n"/>
      <c r="I10" s="12">
        <f>IF(AND(N(G10)&gt;0,H10&lt;&gt;""),ROUND(H10/G10,4),"N/A")</f>
        <v/>
      </c>
    </row>
    <row r="11">
      <c r="A11" s="1" t="inlineStr"/>
      <c r="B11" s="2" t="n"/>
      <c r="C11" s="10" t="inlineStr">
        <is>
          <t>2. Competent Person Designation</t>
        </is>
      </c>
      <c r="D11" s="4" t="n"/>
      <c r="E11" s="4" t="n"/>
      <c r="F11" s="2" t="n"/>
      <c r="G11" s="11" t="n"/>
      <c r="H11" s="11" t="n"/>
      <c r="I11" s="12">
        <f>IF(AND(N(G11)&gt;0,H11&lt;&gt;""),ROUND(H11/G11,4),"N/A")</f>
        <v/>
      </c>
    </row>
    <row r="12">
      <c r="A12" s="1" t="inlineStr"/>
      <c r="B12" s="2" t="n"/>
      <c r="C12" s="10" t="inlineStr">
        <is>
          <t>3. Emergency Response</t>
        </is>
      </c>
      <c r="D12" s="4" t="n"/>
      <c r="E12" s="4" t="n"/>
      <c r="F12" s="2" t="n"/>
      <c r="G12" s="11" t="n"/>
      <c r="H12" s="11" t="n"/>
      <c r="I12" s="12">
        <f>IF(AND(N(G12)&gt;0,H12&lt;&gt;""),ROUND(H12/G12,4),"N/A")</f>
        <v/>
      </c>
    </row>
    <row r="13">
      <c r="A13" s="1" t="inlineStr"/>
      <c r="B13" s="2" t="n"/>
      <c r="C13" s="10" t="inlineStr">
        <is>
          <t>4. Work Permit</t>
        </is>
      </c>
      <c r="D13" s="4" t="n"/>
      <c r="E13" s="4" t="n"/>
      <c r="F13" s="2" t="n"/>
      <c r="G13" s="11" t="n"/>
      <c r="H13" s="11" t="n"/>
      <c r="I13" s="12">
        <f>IF(AND(N(G13)&gt;0,H13&lt;&gt;""),ROUND(H13/G13,4),"N/A")</f>
        <v/>
      </c>
    </row>
    <row r="14">
      <c r="A14" s="1" t="inlineStr"/>
      <c r="B14" s="2" t="n"/>
      <c r="C14" s="10" t="inlineStr">
        <is>
          <t>5. Utility Clearance</t>
        </is>
      </c>
      <c r="D14" s="4" t="n"/>
      <c r="E14" s="4" t="n"/>
      <c r="F14" s="2" t="n"/>
      <c r="G14" s="11" t="n"/>
      <c r="H14" s="11" t="n"/>
      <c r="I14" s="12">
        <f>IF(AND(N(G14)&gt;0,H14&lt;&gt;""),ROUND(H14/G14,4),"N/A")</f>
        <v/>
      </c>
    </row>
    <row r="15">
      <c r="A15" s="1" t="inlineStr"/>
      <c r="B15" s="2" t="n"/>
      <c r="C15" s="10" t="inlineStr">
        <is>
          <t>6. Subcontractor Management</t>
        </is>
      </c>
      <c r="D15" s="4" t="n"/>
      <c r="E15" s="4" t="n"/>
      <c r="F15" s="2" t="n"/>
      <c r="G15" s="11" t="n"/>
      <c r="H15" s="11" t="n"/>
      <c r="I15" s="12">
        <f>IF(AND(N(G15)&gt;0,H15&lt;&gt;""),ROUND(H15/G15,4),"N/A")</f>
        <v/>
      </c>
    </row>
    <row r="16">
      <c r="A16" s="1" t="inlineStr"/>
      <c r="B16" s="2" t="n"/>
      <c r="C16" s="10" t="inlineStr">
        <is>
          <t>7. Training</t>
        </is>
      </c>
      <c r="D16" s="4" t="n"/>
      <c r="E16" s="4" t="n"/>
      <c r="F16" s="2" t="n"/>
      <c r="G16" s="11" t="n"/>
      <c r="H16" s="11" t="n"/>
      <c r="I16" s="12">
        <f>IF(AND(N(G16)&gt;0,H16&lt;&gt;""),ROUND(H16/G16,4),"N/A")</f>
        <v/>
      </c>
    </row>
    <row r="17">
      <c r="A17" s="1" t="inlineStr"/>
      <c r="B17" s="2" t="n"/>
      <c r="C17" s="10" t="inlineStr">
        <is>
          <t>8. Incident reporting</t>
        </is>
      </c>
      <c r="D17" s="4" t="n"/>
      <c r="E17" s="4" t="n"/>
      <c r="F17" s="2" t="n"/>
      <c r="G17" s="11" t="n"/>
      <c r="H17" s="11" t="n"/>
      <c r="I17" s="12">
        <f>IF(AND(N(G17)&gt;0,H17&lt;&gt;""),ROUND(H17/G17,4),"N/A")</f>
        <v/>
      </c>
    </row>
    <row r="18">
      <c r="A18" s="1" t="inlineStr"/>
      <c r="B18" s="2" t="n"/>
      <c r="C18" s="10" t="inlineStr">
        <is>
          <t>9. Fire Prevention</t>
        </is>
      </c>
      <c r="D18" s="4" t="n"/>
      <c r="E18" s="4" t="n"/>
      <c r="F18" s="2" t="n"/>
      <c r="G18" s="11" t="n"/>
      <c r="H18" s="11" t="n"/>
      <c r="I18" s="12">
        <f>IF(AND(N(G18)&gt;0,H18&lt;&gt;""),ROUND(H18/G18,4),"N/A")</f>
        <v/>
      </c>
    </row>
    <row r="19">
      <c r="A19" s="1" t="inlineStr"/>
      <c r="B19" s="2" t="n"/>
      <c r="C19" s="10" t="inlineStr">
        <is>
          <t>10. Personal Protective Equipment</t>
        </is>
      </c>
      <c r="D19" s="4" t="n"/>
      <c r="E19" s="4" t="n"/>
      <c r="F19" s="2" t="n"/>
      <c r="G19" s="11" t="n"/>
      <c r="H19" s="11" t="n"/>
      <c r="I19" s="12">
        <f>IF(AND(N(G19)&gt;0,H19&lt;&gt;""),ROUND(H19/G19,4),"N/A")</f>
        <v/>
      </c>
    </row>
    <row r="20">
      <c r="A20" s="1" t="inlineStr"/>
      <c r="B20" s="2" t="n"/>
      <c r="C20" s="10" t="inlineStr">
        <is>
          <t>11. Medical</t>
        </is>
      </c>
      <c r="D20" s="4" t="n"/>
      <c r="E20" s="4" t="n"/>
      <c r="F20" s="2" t="n"/>
      <c r="G20" s="11" t="n"/>
      <c r="H20" s="11" t="n"/>
      <c r="I20" s="12">
        <f>IF(AND(N(G20)&gt;0,H20&lt;&gt;""),ROUND(H20/G20,4),"N/A")</f>
        <v/>
      </c>
    </row>
    <row r="21">
      <c r="A21" s="1" t="inlineStr"/>
      <c r="B21" s="2" t="n"/>
      <c r="C21" s="10" t="inlineStr">
        <is>
          <t>12. Occupational and Health Surveillance</t>
        </is>
      </c>
      <c r="D21" s="4" t="n"/>
      <c r="E21" s="4" t="n"/>
      <c r="F21" s="2" t="n"/>
      <c r="G21" s="11" t="n"/>
      <c r="H21" s="11" t="n"/>
      <c r="I21" s="12">
        <f>IF(AND(N(G21)&gt;0,H21&lt;&gt;""),ROUND(H21/G21,4),"N/A")</f>
        <v/>
      </c>
    </row>
    <row r="22">
      <c r="A22" s="13" t="inlineStr">
        <is>
          <t>C</t>
        </is>
      </c>
      <c r="B22" s="2" t="n"/>
      <c r="C22" s="14" t="inlineStr">
        <is>
          <t>PLANNING AND COMMITMENT</t>
        </is>
      </c>
      <c r="D22" s="4" t="n"/>
      <c r="E22" s="4" t="n"/>
      <c r="F22" s="2" t="n"/>
      <c r="G22" s="15">
        <f>SUM(G23:G24)</f>
        <v/>
      </c>
      <c r="H22" s="15">
        <f>SUM(H23:H24)</f>
        <v/>
      </c>
      <c r="I22" s="16">
        <f>IFERROR(ROUND(AVERAGE(I23:I24),4),"N/A")</f>
        <v/>
      </c>
    </row>
    <row r="23">
      <c r="A23" s="1" t="inlineStr"/>
      <c r="B23" s="2" t="n"/>
      <c r="C23" s="10" t="inlineStr">
        <is>
          <t>1. Leadership Engagement</t>
        </is>
      </c>
      <c r="D23" s="4" t="n"/>
      <c r="E23" s="4" t="n"/>
      <c r="F23" s="2" t="n"/>
      <c r="G23" s="11" t="n"/>
      <c r="H23" s="11" t="n"/>
      <c r="I23" s="12">
        <f>IF(AND(N(G23)&gt;0,H23&lt;&gt;""),ROUND(H23/G23,4),"N/A")</f>
        <v/>
      </c>
    </row>
    <row r="24">
      <c r="A24" s="1" t="inlineStr"/>
      <c r="B24" s="2" t="n"/>
      <c r="C24" s="10" t="inlineStr">
        <is>
          <t>2. Planning</t>
        </is>
      </c>
      <c r="D24" s="4" t="n"/>
      <c r="E24" s="4" t="n"/>
      <c r="F24" s="2" t="n"/>
      <c r="G24" s="11" t="n"/>
      <c r="H24" s="11" t="n"/>
      <c r="I24" s="12">
        <f>IF(AND(N(G24)&gt;0,H24&lt;&gt;""),ROUND(H24/G24,4),"N/A")</f>
        <v/>
      </c>
    </row>
    <row r="25" ht="18" customHeight="1">
      <c r="A25" s="17" t="inlineStr">
        <is>
          <t>TOTAL FINAL SCORE</t>
        </is>
      </c>
      <c r="B25" s="4" t="n"/>
      <c r="C25" s="4" t="n"/>
      <c r="D25" s="4" t="n"/>
      <c r="E25" s="4" t="n"/>
      <c r="F25" s="2" t="n"/>
      <c r="G25" s="18">
        <f>IFERROR(ROUND(AVERAGE(I8,I9,I22),4),"N/A")</f>
        <v/>
      </c>
      <c r="H25" s="19" t="inlineStr">
        <is>
          <t>Rating</t>
        </is>
      </c>
      <c r="I25" s="19">
        <f>IF(ISNUMBER(G25),INDEX(Reference!$B$5:$B$9,MATCH(G25,Reference!$A$5:$A$9,1)),"N/A")</f>
        <v/>
      </c>
    </row>
    <row r="27">
      <c r="F27" s="20" t="inlineStr">
        <is>
          <t>Rating key</t>
        </is>
      </c>
    </row>
    <row r="28">
      <c r="F28" s="21" t="inlineStr">
        <is>
          <t>Excellent</t>
        </is>
      </c>
      <c r="H28" s="22" t="inlineStr">
        <is>
          <t>90-100%</t>
        </is>
      </c>
    </row>
    <row r="29">
      <c r="F29" s="21" t="inlineStr">
        <is>
          <t>Good</t>
        </is>
      </c>
      <c r="H29" s="22" t="inlineStr">
        <is>
          <t>80-89%</t>
        </is>
      </c>
    </row>
    <row r="30">
      <c r="F30" s="21" t="inlineStr">
        <is>
          <t>Partially Compliant</t>
        </is>
      </c>
      <c r="H30" s="22" t="inlineStr">
        <is>
          <t>70-79%</t>
        </is>
      </c>
    </row>
    <row r="31">
      <c r="F31" s="21" t="inlineStr">
        <is>
          <t>Minimally Compliant</t>
        </is>
      </c>
      <c r="H31" s="22" t="inlineStr">
        <is>
          <t>60-69%</t>
        </is>
      </c>
    </row>
    <row r="32">
      <c r="F32" s="21" t="inlineStr">
        <is>
          <t>Non-Compliant</t>
        </is>
      </c>
      <c r="H32" s="22" t="inlineStr">
        <is>
          <t>below 60%</t>
        </is>
      </c>
    </row>
  </sheetData>
  <mergeCells count="47">
    <mergeCell ref="C1:E1"/>
    <mergeCell ref="A24:B24"/>
    <mergeCell ref="C17:F17"/>
    <mergeCell ref="A15:B15"/>
    <mergeCell ref="C23:F23"/>
    <mergeCell ref="C8:F8"/>
    <mergeCell ref="A11:B11"/>
    <mergeCell ref="G3:I3"/>
    <mergeCell ref="A1:B1"/>
    <mergeCell ref="C19:F19"/>
    <mergeCell ref="C2:E2"/>
    <mergeCell ref="C13:F13"/>
    <mergeCell ref="C18:F18"/>
    <mergeCell ref="A16:B16"/>
    <mergeCell ref="C15:F15"/>
    <mergeCell ref="A18:B18"/>
    <mergeCell ref="C24:F24"/>
    <mergeCell ref="A3:B3"/>
    <mergeCell ref="C5:I5"/>
    <mergeCell ref="G1:I1"/>
    <mergeCell ref="A12:B12"/>
    <mergeCell ref="C14:F14"/>
    <mergeCell ref="A21:B21"/>
    <mergeCell ref="A2:B2"/>
    <mergeCell ref="C20:F20"/>
    <mergeCell ref="A5:B5"/>
    <mergeCell ref="C16:F16"/>
    <mergeCell ref="C3:E3"/>
    <mergeCell ref="A14:B14"/>
    <mergeCell ref="A17:B17"/>
    <mergeCell ref="C10:F10"/>
    <mergeCell ref="A23:B23"/>
    <mergeCell ref="A8:B8"/>
    <mergeCell ref="A22:B22"/>
    <mergeCell ref="C22:F22"/>
    <mergeCell ref="G2:I2"/>
    <mergeCell ref="A20:B20"/>
    <mergeCell ref="C9:F9"/>
    <mergeCell ref="A19:B19"/>
    <mergeCell ref="C12:F12"/>
    <mergeCell ref="A10:B10"/>
    <mergeCell ref="C21:F21"/>
    <mergeCell ref="A13:B13"/>
    <mergeCell ref="C11:F11"/>
    <mergeCell ref="A9:B9"/>
    <mergeCell ref="A7:F7"/>
    <mergeCell ref="A25:F25"/>
  </mergeCells>
  <conditionalFormatting sqref="H8:H24">
    <cfRule type="expression" priority="1" dxfId="0" stopIfTrue="0">
      <formula>AND(ISNUMBER($H8),ISNUMBER($G8),$H8&gt;$G8)</formula>
    </cfRule>
  </conditionalFormatting>
  <conditionalFormatting sqref="G25">
    <cfRule type="expression" priority="2" dxfId="0" stopIfTrue="0">
      <formula>AND(ISNUMBER($G$25),$G$25&lt;0.6)</formula>
    </cfRule>
  </conditionalFormatting>
  <dataValidations count="16">
    <dataValidation sqref="H8 H10 H11 H12 H13 H14 H15 H16 H17 H18 H19 H20 H21 H23 H24" showDropDown="0" showInputMessage="0" showErrorMessage="1" allowBlank="1" errorTitle="Check the points scored" error="Points scored must be a number between 0 and the Total Possible Points on this row, in steps of 0.5." type="custom">
      <formula1>=AND(ISNUMBER(H8),H8&gt;=0,H8&lt;=G8,MOD(H8*2,1)=0)</formula1>
    </dataValidation>
    <dataValidation sqref="G8" showDropDown="0" showInputMessage="0" showErrorMessage="1" allowBlank="1" errorTitle="Check the possible points" error="This area is worth 49 points when every question applies. Enter 49, or less when questions are N/A — and 0 if the whole area does not apply." type="custom">
      <formula1>=AND(ISNUMBER(G8),G8&gt;=0,G8&lt;=49)</formula1>
    </dataValidation>
    <dataValidation sqref="G10" showDropDown="0" showInputMessage="0" showErrorMessage="1" allowBlank="1" errorTitle="Check the possible points" error="This area is worth 6 points when every question applies. Enter 6, or less when questions are N/A — and 0 if the whole area does not apply." type="custom">
      <formula1>=AND(ISNUMBER(G10),G10&gt;=0,G10&lt;=6)</formula1>
    </dataValidation>
    <dataValidation sqref="G11" showDropDown="0" showInputMessage="0" showErrorMessage="1" allowBlank="1" errorTitle="Check the possible points" error="This area is worth 7 points when every question applies. Enter 7, or less when questions are N/A — and 0 if the whole area does not apply." type="custom">
      <formula1>=AND(ISNUMBER(G11),G11&gt;=0,G11&lt;=7)</formula1>
    </dataValidation>
    <dataValidation sqref="G12" showDropDown="0" showInputMessage="0" showErrorMessage="1" allowBlank="1" errorTitle="Check the possible points" error="This area is worth 9 points when every question applies. Enter 9, or less when questions are N/A — and 0 if the whole area does not apply." type="custom">
      <formula1>=AND(ISNUMBER(G12),G12&gt;=0,G12&lt;=9)</formula1>
    </dataValidation>
    <dataValidation sqref="G13" showDropDown="0" showInputMessage="0" showErrorMessage="1" allowBlank="1" errorTitle="Check the possible points" error="This area is worth 4 points when every question applies. Enter 4, or less when questions are N/A — and 0 if the whole area does not apply." type="custom">
      <formula1>=AND(ISNUMBER(G13),G13&gt;=0,G13&lt;=4)</formula1>
    </dataValidation>
    <dataValidation sqref="G14" showDropDown="0" showInputMessage="0" showErrorMessage="1" allowBlank="1" errorTitle="Check the possible points" error="This area is worth 5 points when every question applies. Enter 5, or less when questions are N/A — and 0 if the whole area does not apply." type="custom">
      <formula1>=AND(ISNUMBER(G14),G14&gt;=0,G14&lt;=5)</formula1>
    </dataValidation>
    <dataValidation sqref="G15" showDropDown="0" showInputMessage="0" showErrorMessage="1" allowBlank="1" errorTitle="Check the possible points" error="This area is worth 15 points when every question applies. Enter 15, or less when questions are N/A — and 0 if the whole area does not apply." type="custom">
      <formula1>=AND(ISNUMBER(G15),G15&gt;=0,G15&lt;=15)</formula1>
    </dataValidation>
    <dataValidation sqref="G16" showDropDown="0" showInputMessage="0" showErrorMessage="1" allowBlank="1" errorTitle="Check the possible points" error="This area is worth 3 points when every question applies. Enter 3, or less when questions are N/A — and 0 if the whole area does not apply." type="custom">
      <formula1>=AND(ISNUMBER(G16),G16&gt;=0,G16&lt;=3)</formula1>
    </dataValidation>
    <dataValidation sqref="G17" showDropDown="0" showInputMessage="0" showErrorMessage="1" allowBlank="1" errorTitle="Check the possible points" error="This area is worth 4 points when every question applies. Enter 4, or less when questions are N/A — and 0 if the whole area does not apply." type="custom">
      <formula1>=AND(ISNUMBER(G17),G17&gt;=0,G17&lt;=4)</formula1>
    </dataValidation>
    <dataValidation sqref="G18" showDropDown="0" showInputMessage="0" showErrorMessage="1" allowBlank="1" errorTitle="Check the possible points" error="This area is worth 3 points when every question applies. Enter 3, or less when questions are N/A — and 0 if the whole area does not apply." type="custom">
      <formula1>=AND(ISNUMBER(G18),G18&gt;=0,G18&lt;=3)</formula1>
    </dataValidation>
    <dataValidation sqref="G19" showDropDown="0" showInputMessage="0" showErrorMessage="1" allowBlank="1" errorTitle="Check the possible points" error="This area is worth 4 points when every question applies. Enter 4, or less when questions are N/A — and 0 if the whole area does not apply." type="custom">
      <formula1>=AND(ISNUMBER(G19),G19&gt;=0,G19&lt;=4)</formula1>
    </dataValidation>
    <dataValidation sqref="G20" showDropDown="0" showInputMessage="0" showErrorMessage="1" allowBlank="1" errorTitle="Check the possible points" error="This area is worth 7 points when every question applies. Enter 7, or less when questions are N/A — and 0 if the whole area does not apply." type="custom">
      <formula1>=AND(ISNUMBER(G20),G20&gt;=0,G20&lt;=7)</formula1>
    </dataValidation>
    <dataValidation sqref="G21" showDropDown="0" showInputMessage="0" showErrorMessage="1" allowBlank="1" errorTitle="Check the possible points" error="This area is worth 4 points when every question applies. Enter 4, or less when questions are N/A — and 0 if the whole area does not apply." type="custom">
      <formula1>=AND(ISNUMBER(G21),G21&gt;=0,G21&lt;=4)</formula1>
    </dataValidation>
    <dataValidation sqref="G23" showDropDown="0" showInputMessage="0" showErrorMessage="1" allowBlank="1" errorTitle="Check the possible points" error="This area is worth 19 points when every question applies. Enter 19, or less when questions are N/A — and 0 if the whole area does not apply." type="custom">
      <formula1>=AND(ISNUMBER(G23),G23&gt;=0,G23&lt;=19)</formula1>
    </dataValidation>
    <dataValidation sqref="G24" showDropDown="0" showInputMessage="0" showErrorMessage="1" allowBlank="1" errorTitle="Check the possible points" error="This area is worth 25 points when every question applies. Enter 25, or less when questions are N/A — and 0 if the whole area does not apply." type="custom">
      <formula1>=AND(ISNUMBER(G24),G24&gt;=0,G24&lt;=25)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8" customWidth="1" min="1" max="1"/>
    <col width="22" customWidth="1" min="2" max="2"/>
    <col width="14" customWidth="1" min="3" max="3"/>
    <col width="46" customWidth="1" min="5" max="5"/>
    <col width="34" customWidth="1" min="6" max="6"/>
  </cols>
  <sheetData>
    <row r="1">
      <c r="A1" s="23" t="inlineStr">
        <is>
          <t>Reference — do not rename this sheet</t>
        </is>
      </c>
    </row>
    <row r="2">
      <c r="A2" s="24" t="inlineStr">
        <is>
          <t>The template's Rating cell looks the band up here. The boundaries match the dashboard's, so a score cannot be rated one way in the sheet and another in the app.</t>
        </is>
      </c>
    </row>
    <row r="4">
      <c r="A4" s="25" t="inlineStr">
        <is>
          <t>Score at or above</t>
        </is>
      </c>
      <c r="B4" s="25" t="inlineStr">
        <is>
          <t>Rating</t>
        </is>
      </c>
      <c r="C4" s="25" t="inlineStr">
        <is>
          <t>Shown as</t>
        </is>
      </c>
      <c r="E4" s="25" t="inlineStr">
        <is>
          <t>Checklist area</t>
        </is>
      </c>
      <c r="F4" s="25" t="inlineStr">
        <is>
          <t>Points when every question applies</t>
        </is>
      </c>
    </row>
    <row r="5">
      <c r="A5" s="26" t="n">
        <v>0</v>
      </c>
      <c r="B5" s="27" t="inlineStr">
        <is>
          <t>Non-Compliant</t>
        </is>
      </c>
      <c r="C5" s="27" t="inlineStr">
        <is>
          <t>below 60%</t>
        </is>
      </c>
      <c r="E5" s="27" t="inlineStr">
        <is>
          <t>A — MANAGEMENT</t>
        </is>
      </c>
      <c r="F5" s="28" t="n">
        <v>49</v>
      </c>
    </row>
    <row r="6">
      <c r="A6" s="26" t="n">
        <v>0.6</v>
      </c>
      <c r="B6" s="27" t="inlineStr">
        <is>
          <t>Minimally Compliant</t>
        </is>
      </c>
      <c r="C6" s="27" t="inlineStr">
        <is>
          <t>60-69%</t>
        </is>
      </c>
      <c r="E6" s="27" t="inlineStr">
        <is>
          <t>B1 — 1. Risk Assessments Method Statements</t>
        </is>
      </c>
      <c r="F6" s="28" t="n">
        <v>6</v>
      </c>
    </row>
    <row r="7">
      <c r="A7" s="26" t="n">
        <v>0.7</v>
      </c>
      <c r="B7" s="27" t="inlineStr">
        <is>
          <t>Partially Compliant</t>
        </is>
      </c>
      <c r="C7" s="27" t="inlineStr">
        <is>
          <t>70-79%</t>
        </is>
      </c>
      <c r="E7" s="27" t="inlineStr">
        <is>
          <t>B2 — 2. Competent Person Designation</t>
        </is>
      </c>
      <c r="F7" s="28" t="n">
        <v>7</v>
      </c>
    </row>
    <row r="8">
      <c r="A8" s="26" t="n">
        <v>0.8</v>
      </c>
      <c r="B8" s="27" t="inlineStr">
        <is>
          <t>Good</t>
        </is>
      </c>
      <c r="C8" s="27" t="inlineStr">
        <is>
          <t>80-89%</t>
        </is>
      </c>
      <c r="E8" s="27" t="inlineStr">
        <is>
          <t>B3 — 3. Emergency Response</t>
        </is>
      </c>
      <c r="F8" s="28" t="n">
        <v>9</v>
      </c>
    </row>
    <row r="9">
      <c r="A9" s="26" t="n">
        <v>0.9</v>
      </c>
      <c r="B9" s="27" t="inlineStr">
        <is>
          <t>Excellent</t>
        </is>
      </c>
      <c r="C9" s="27" t="inlineStr">
        <is>
          <t>90-100%</t>
        </is>
      </c>
      <c r="E9" s="27" t="inlineStr">
        <is>
          <t>B4 — 4. Work Permit</t>
        </is>
      </c>
      <c r="F9" s="28" t="n">
        <v>4</v>
      </c>
    </row>
    <row r="10">
      <c r="E10" s="27" t="inlineStr">
        <is>
          <t>B5 — 5. Utility Clearance</t>
        </is>
      </c>
      <c r="F10" s="28" t="n">
        <v>5</v>
      </c>
    </row>
    <row r="11">
      <c r="E11" s="27" t="inlineStr">
        <is>
          <t>B6 — 6. Subcontractor Management</t>
        </is>
      </c>
      <c r="F11" s="28" t="n">
        <v>15</v>
      </c>
    </row>
    <row r="12">
      <c r="E12" s="27" t="inlineStr">
        <is>
          <t>B7 — 7. Training</t>
        </is>
      </c>
      <c r="F12" s="28" t="n">
        <v>3</v>
      </c>
    </row>
    <row r="13">
      <c r="E13" s="27" t="inlineStr">
        <is>
          <t>B8 — 8. Incident reporting</t>
        </is>
      </c>
      <c r="F13" s="28" t="n">
        <v>4</v>
      </c>
    </row>
    <row r="14">
      <c r="E14" s="27" t="inlineStr">
        <is>
          <t>B9 — 9. Fire Prevention</t>
        </is>
      </c>
      <c r="F14" s="28" t="n">
        <v>3</v>
      </c>
    </row>
    <row r="15">
      <c r="E15" s="27" t="inlineStr">
        <is>
          <t>B10 — 10. Personal Protective Equipment</t>
        </is>
      </c>
      <c r="F15" s="28" t="n">
        <v>4</v>
      </c>
    </row>
    <row r="16">
      <c r="E16" s="27" t="inlineStr">
        <is>
          <t>B11 — 11. Medical</t>
        </is>
      </c>
      <c r="F16" s="28" t="n">
        <v>7</v>
      </c>
    </row>
    <row r="17">
      <c r="E17" s="27" t="inlineStr">
        <is>
          <t>B12 — 12. Occupational and Health Surveillance</t>
        </is>
      </c>
      <c r="F17" s="28" t="n">
        <v>4</v>
      </c>
    </row>
    <row r="18">
      <c r="E18" s="27" t="inlineStr">
        <is>
          <t>C1 — 1. Leadership Engagement</t>
        </is>
      </c>
      <c r="F18" s="28" t="n">
        <v>19</v>
      </c>
    </row>
    <row r="19">
      <c r="E19" s="27" t="inlineStr">
        <is>
          <t>C2 — 2. Planning</t>
        </is>
      </c>
      <c r="F19" s="28" t="n">
        <v>25</v>
      </c>
    </row>
    <row r="20"/>
    <row r="21">
      <c r="E21" s="27" t="inlineStr">
        <is>
          <t>Source: the 81-question H&amp;S checklist in src/lib/ehss/checklist.ts, generated from the Excellence EHSS Quarterly Performance Review workbook. Enter less than the full weight when questions are N/A.</t>
        </is>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86" customWidth="1" min="2" max="2"/>
  </cols>
  <sheetData>
    <row r="1">
      <c r="A1" s="29" t="inlineStr">
        <is>
          <t>How to fill this in</t>
        </is>
      </c>
    </row>
    <row r="3">
      <c r="A3" s="30" t="inlineStr">
        <is>
          <t>Type only the shaded cells.</t>
        </is>
      </c>
    </row>
    <row r="5">
      <c r="A5" s="30" t="inlineStr">
        <is>
          <t>Per area, two numbers:</t>
        </is>
      </c>
    </row>
    <row r="6">
      <c r="A6" s="31" t="inlineStr">
        <is>
          <t>Total Possible Points</t>
        </is>
      </c>
      <c r="B6" s="32" t="inlineStr">
        <is>
          <t>the weight of the questions that APPLY. The full weight is on the Reference sheet; enter less when questions are N/A, and 0 when the whole area does not apply.</t>
        </is>
      </c>
    </row>
    <row r="7">
      <c r="A7" s="31" t="inlineStr">
        <is>
          <t>Total Points Scored</t>
        </is>
      </c>
      <c r="B7" s="32" t="inlineStr">
        <is>
          <t>weight x 1 for Full, 0.5 for Partial, 0 for No. Never more than the possible points on that row.</t>
        </is>
      </c>
    </row>
    <row r="9">
      <c r="A9" s="30" t="inlineStr">
        <is>
          <t>Everything else calculates:</t>
        </is>
      </c>
    </row>
    <row r="10">
      <c r="A10" s="31" t="inlineStr">
        <is>
          <t>Final Score</t>
        </is>
      </c>
      <c r="B10" s="32" t="inlineStr">
        <is>
          <t>points scored / possible points, per area.</t>
        </is>
      </c>
    </row>
    <row r="11">
      <c r="A11" s="31" t="inlineStr">
        <is>
          <t>Section B and C</t>
        </is>
      </c>
      <c r="B11" s="32" t="inlineStr">
        <is>
          <t>points are the sum of their areas; the score is the AVERAGE of the area scores.</t>
        </is>
      </c>
    </row>
    <row r="12">
      <c r="A12" s="31" t="inlineStr">
        <is>
          <t>TOTAL FINAL SCORE</t>
        </is>
      </c>
      <c r="B12" s="32" t="inlineStr">
        <is>
          <t>the average of the section A, B and C scores.</t>
        </is>
      </c>
    </row>
    <row r="13">
      <c r="A13" s="31" t="inlineStr">
        <is>
          <t>Rating</t>
        </is>
      </c>
      <c r="B13" s="32" t="inlineStr">
        <is>
          <t>looked up from the band table on the Reference sheet.</t>
        </is>
      </c>
    </row>
    <row r="15">
      <c r="A15" s="30" t="inlineStr">
        <is>
          <t>An area that does not apply reads N/A and is LEFT OUT of the averages — it does not count as zero. Set its possible points to 0 or leave the row blank.</t>
        </is>
      </c>
    </row>
    <row r="17">
      <c r="A17" s="30" t="inlineStr">
        <is>
          <t>Two guards are built in:</t>
        </is>
      </c>
    </row>
    <row r="18">
      <c r="B18" s="32" t="inlineStr">
        <is>
          <t>Typing more points than are possible is refused.</t>
        </is>
      </c>
    </row>
    <row r="19">
      <c r="B19" s="32" t="inlineStr">
        <is>
          <t>A pasted value over the possible points turns the cell RED. Pasting bypasses the check, and that is how a score of 21.5 out of 21 reached the Q1 2026 sheet.</t>
        </is>
      </c>
    </row>
    <row r="21">
      <c r="A21" s="31" t="inlineStr">
        <is>
          <t>NAME THE SHEET LIKE THIS:</t>
        </is>
      </c>
      <c r="B21" s="32" t="inlineStr">
        <is>
          <t>"Q2 2026 SUBREGION1" — quarter, year and sub-region. The importer and the verifier both find a quarter's sheet by that pattern, and will skip a sheet called anything else. One sheet per quarter per sub-region.</t>
        </is>
      </c>
    </row>
    <row r="23">
      <c r="A23" s="31" t="inlineStr">
        <is>
          <t>For more than one contractor:</t>
        </is>
      </c>
      <c r="B23" s="32" t="inlineStr">
        <is>
          <t>copy A1:I31 on the AUDIT TEMPLATE sheet and paste at K1, then U1, then AE1 — ten columns apart. The formulas are relative and follow. The importer expects that spacing.</t>
        </is>
      </c>
    </row>
    <row r="25">
      <c r="A25" s="31" t="inlineStr">
        <is>
          <t>WHAT NOT TO DO:</t>
        </is>
      </c>
      <c r="B25" s="32" t="inlineStr">
        <is>
          <t>do not insert or delete rows inside the block, and do not move the points into different columns. The importer reads fixed rows and columns. Run scripts/verify-against-sheet.py against the finished workbook before trusting an import — it reads by label instead, so it catches a shifted row.</t>
        </is>
      </c>
    </row>
    <row r="27">
      <c r="A27" s="31" t="inlineStr">
        <is>
          <t>WHY THIS TEMPLATE EXISTS:</t>
        </is>
      </c>
      <c r="B27" s="32" t="inlineStr">
        <is>
          <t>the Q4 2025 and Q1 2026 workbooks contained no formulas at all. Every percentage and total was typed, 32 of them had drifted from the points beside them, and no rule explained the stated total in 11 of 20 audits.</t>
        </is>
      </c>
    </row>
  </sheetData>
  <mergeCells count="5">
    <mergeCell ref="A15:B15"/>
    <mergeCell ref="A5:B5"/>
    <mergeCell ref="A17:B17"/>
    <mergeCell ref="A9:B9"/>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2026-10-10T08:16:39Z</dcterms:created>
  <dcterms:modified xsi:type="dcterms:W3CDTF">2026-10-10T08:16:39Z</dcterms:modified>
</cp:coreProperties>
</file>